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stine\solar-converter\public\"/>
    </mc:Choice>
  </mc:AlternateContent>
  <xr:revisionPtr revIDLastSave="0" documentId="13_ncr:1_{DE88B0D8-8F1D-426E-95FE-94B839C8E055}" xr6:coauthVersionLast="47" xr6:coauthVersionMax="47" xr10:uidLastSave="{00000000-0000-0000-0000-000000000000}"/>
  <bookViews>
    <workbookView xWindow="-108" yWindow="-108" windowWidth="23256" windowHeight="13896" activeTab="1" xr2:uid="{4EF88AD7-D076-41CD-BCFA-A05F6A55A005}"/>
  </bookViews>
  <sheets>
    <sheet name="GROUPGRADE" sheetId="1" r:id="rId1"/>
    <sheet name="INDVGRAD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1" l="1"/>
  <c r="A25" i="1"/>
  <c r="G25" i="1"/>
  <c r="P27" i="2"/>
  <c r="N27" i="2"/>
  <c r="L27" i="2"/>
  <c r="J27" i="2"/>
  <c r="H27" i="2"/>
  <c r="P25" i="2"/>
  <c r="N25" i="2"/>
  <c r="L25" i="2"/>
  <c r="J25" i="2"/>
  <c r="H25" i="2"/>
  <c r="P23" i="2"/>
  <c r="N23" i="2"/>
  <c r="L23" i="2"/>
  <c r="J23" i="2"/>
  <c r="H23" i="2"/>
  <c r="P21" i="2"/>
  <c r="N21" i="2"/>
  <c r="L21" i="2"/>
  <c r="J21" i="2"/>
  <c r="H21" i="2"/>
  <c r="P19" i="2"/>
  <c r="N19" i="2"/>
  <c r="L19" i="2"/>
  <c r="J19" i="2"/>
  <c r="H19" i="2"/>
  <c r="G28" i="2" s="1"/>
  <c r="I28" i="2" l="1"/>
  <c r="K28" i="2"/>
  <c r="O28" i="2"/>
  <c r="M28" i="2"/>
</calcChain>
</file>

<file path=xl/sharedStrings.xml><?xml version="1.0" encoding="utf-8"?>
<sst xmlns="http://schemas.openxmlformats.org/spreadsheetml/2006/main" count="192" uniqueCount="157">
  <si>
    <t>ORAL DEFENSE GROUP GRADE SHEET</t>
  </si>
  <si>
    <t>PROJECT MANAGEMENT FOR CS - SE</t>
  </si>
  <si>
    <t>PROJECT INFORMATION</t>
  </si>
  <si>
    <t>GROUP NAME</t>
  </si>
  <si>
    <t>THESIS TITLE</t>
  </si>
  <si>
    <t>ORAL DEFENSE DATE | TIME | VENUE</t>
  </si>
  <si>
    <t>PROPONENT’S NAMES</t>
  </si>
  <si>
    <t>GROUP GRADE SUMMARY</t>
  </si>
  <si>
    <t>DOCUMENTATION</t>
  </si>
  <si>
    <t>PRESENTATION</t>
  </si>
  <si>
    <t>SUM</t>
  </si>
  <si>
    <t>Documentation(Chapter 1 to 3) (65 points) + Presentation (35 pts)</t>
  </si>
  <si>
    <t>100 Points</t>
  </si>
  <si>
    <t>DOCUMENTATION (65 POINTS)</t>
  </si>
  <si>
    <t>CHAPTER 1: INTRODUCTION</t>
  </si>
  <si>
    <t>CRITERIA AND WEIGHT</t>
  </si>
  <si>
    <t>5
 VERY ACCEPTABLE</t>
  </si>
  <si>
    <t>4
 ACCEPTABLE</t>
  </si>
  <si>
    <t>3
 FAIR</t>
  </si>
  <si>
    <t>2
 NEEDS IMPROVEMENT</t>
  </si>
  <si>
    <t>1
 POOR</t>
  </si>
  <si>
    <t>SCORE</t>
  </si>
  <si>
    <t>Background of the Study (x1)</t>
  </si>
  <si>
    <t>The background is exceptionally adequate.</t>
  </si>
  <si>
    <t>The background  is more than adequate.</t>
  </si>
  <si>
    <t>The background  is adequate.</t>
  </si>
  <si>
    <t>The background  is inadequate.</t>
  </si>
  <si>
    <t>The background  is missing.</t>
  </si>
  <si>
    <t>Significance of the Study
(x1)</t>
  </si>
  <si>
    <t>The group fully and adequately stated the importance of the study to the stakeholders.</t>
  </si>
  <si>
    <t>The group more than adequately stated the importance of the study to the stakeholders.</t>
  </si>
  <si>
    <t>The group adequately stated the importance of the study to the stakeholders.</t>
  </si>
  <si>
    <t>The group insufficiently stated the importance of the study to the stakeholders.</t>
  </si>
  <si>
    <t>The group is notable to stated the importance of the study to the stakeholders.</t>
  </si>
  <si>
    <t>Objectives 
(x2)</t>
  </si>
  <si>
    <t>The general objective is very well-stated and completely shows relevance to the background of the study.
All the specific objectives are specific, measureable, achievable, realistic, time- bound, and well-connected to the general objective.</t>
  </si>
  <si>
    <t>The general objective is well-stated.
All of the specific objectives are specific, measureable, achievable, realistic, time- bound, and related to the general objective.</t>
  </si>
  <si>
    <t>The general objective is clearly stated.
Most of the specific objectives are specific, measureable, achievable, realistic, time-bound, and related to the general objective.</t>
  </si>
  <si>
    <t>The general objective is somewhat clearly stated.
Few of the specific objectives are specific, measureable, achievable, realistic, time-bound, and related to the general objective.</t>
  </si>
  <si>
    <t>The general objective is vague.
None of the specific objectives are specific, measureable, achievable, realistic, time-bound, and related to the general objective.</t>
  </si>
  <si>
    <t>Scope and Limitations (x1)</t>
  </si>
  <si>
    <t>All scope and delimitations, obstacles, or problems are presented and thoroughly described.</t>
  </si>
  <si>
    <t>All scope and delimitations, obstacles, or problems are presented and described.</t>
  </si>
  <si>
    <t>Most scope and delimitations, obstacles, or problems are presented and described.</t>
  </si>
  <si>
    <t>Few scope and delimitations, obstacles, or problems are presented.</t>
  </si>
  <si>
    <t>No scope and delimitations, obstacles, or problems are presented.</t>
  </si>
  <si>
    <t>Conceptual Framework 
(x1)</t>
  </si>
  <si>
    <t>Conceptual framework presented is most ideal and appropriate.
All elements of the chosen framework are shown and extensively described.</t>
  </si>
  <si>
    <t>Conceptual framework presented is appropriate.
All elements of the chosen framework are shown and/or described.</t>
  </si>
  <si>
    <t>Conceptual framework presented is appropriate.
Most elements of the chosen framework are shown and/or described.</t>
  </si>
  <si>
    <t>Conceptual framework presented is somewhat appropriate.
Few elements of the chosen framework are shown and/or described.</t>
  </si>
  <si>
    <t>Conceptual framework presented is incorrect.</t>
  </si>
  <si>
    <t>Discussion of Algorithm (x2)</t>
  </si>
  <si>
    <t>The proposed algorithm is most ideal and appropriate for the project. The discussion of the algorithm was very clear and understandable.</t>
  </si>
  <si>
    <t>The proposed algorithm is appropriate for the project. The discussion of the algorithm was clear and understandable.</t>
  </si>
  <si>
    <t>The proposed algorithm is appropriate for the project. The discussion of the algorithm needs improvement.</t>
  </si>
  <si>
    <t>The proposed algorithm is somehow appropriate for the project. The discussion of the algorithm is not clear and needs further explanation</t>
  </si>
  <si>
    <t xml:space="preserve">The proposed algorithm is not appropriate for the project. </t>
  </si>
  <si>
    <t>CHAPTER 2: REVIEW OF RELATED LITERATURE AND STUDIES</t>
  </si>
  <si>
    <t>5 VERY ACCEPTABLE</t>
  </si>
  <si>
    <t>2 NEEDS IMPROVEMENT</t>
  </si>
  <si>
    <t>Research Context Relevance
(x1)</t>
  </si>
  <si>
    <t>The group thoroughly analyzes the related research conducted by extensively describing, explaining and evaluating the individual studies and justifying the relevance of the topic to merit further study.</t>
  </si>
  <si>
    <t>The group analyzes the related research conducted by describing and explaining the individual studies and justifying the relevance of the topic to merit further study.</t>
  </si>
  <si>
    <t>The group partially analyzes previous research findings and simply stated the relevance of the literature/studies.</t>
  </si>
  <si>
    <t>The group superficially reviews the literature/studies and does not describe the research relevance.</t>
  </si>
  <si>
    <t>The group simply copies existing literature/studies and is not relevant to the project.</t>
  </si>
  <si>
    <t>Quality and Quantity of References (x1)</t>
  </si>
  <si>
    <t>The group includes more than adequate current literature relevant to the topic. More than 10 refereed sources are included.</t>
  </si>
  <si>
    <t>The group includes more than adequate current literature relevant to the topic. Nine to ten refereed sources are included.</t>
  </si>
  <si>
    <t>The group includes adequate current literature relevant to the topic. Seven to eight refereed sources are included.</t>
  </si>
  <si>
    <t>The group includes few current literatures relevant to the topic. Five to six refereed sources are included.</t>
  </si>
  <si>
    <t>The group does not include current literature relevant to the topic. Less than five refereed sources are included.</t>
  </si>
  <si>
    <t>CHAPTER 3: METHODOLOGY</t>
  </si>
  <si>
    <t>Project Design/System Architecture (x1)</t>
  </si>
  <si>
    <t>Process illustrations/diagrams are/is adequate, logical and thoroughly explained</t>
  </si>
  <si>
    <t>Process illustrations/diagrams are/is adequate, logical and well explained.</t>
  </si>
  <si>
    <t>Process illustrations/diagrams are/is adequate and logical.</t>
  </si>
  <si>
    <t>Process illustrations/diagrams are/is adequate and logical in few aspects.</t>
  </si>
  <si>
    <t>No process illustrations/diagrams are/is presented.</t>
  </si>
  <si>
    <t>Project Development (x1)</t>
  </si>
  <si>
    <t>The methodology used is appropriate and well justified.</t>
  </si>
  <si>
    <t>The methodology used is appropriate and justified.</t>
  </si>
  <si>
    <t>The methodology used is appropriate.</t>
  </si>
  <si>
    <t>The methodology used is somewhat appropriate.</t>
  </si>
  <si>
    <t>The methodology used is not appropriate.</t>
  </si>
  <si>
    <t>Testing Procedures
(x1)</t>
  </si>
  <si>
    <t>Experiment procedures are clear, completely repeatable and easy to follow</t>
  </si>
  <si>
    <t>Experiment procedures are clear and completely repeatable.</t>
  </si>
  <si>
    <t>Experiment procedures are clear but not completely repeatable.</t>
  </si>
  <si>
    <t>Experiment procedures are not clear.</t>
  </si>
  <si>
    <t>Experiment procedures are not included.</t>
  </si>
  <si>
    <t>PRESENTATION (35 POINTS)</t>
  </si>
  <si>
    <t>Consistency
  (x3)</t>
  </si>
  <si>
    <t>The project discussion is consistent and evidently supported based from the project paper.</t>
  </si>
  <si>
    <t>The project discussion is consistent with the project paper.</t>
  </si>
  <si>
    <t>Most of the project discussion is consistent with the project paper</t>
  </si>
  <si>
    <t>Some parts of the project discussion are consistent with the project paper</t>
  </si>
  <si>
    <t>The project discussion is not consistent with the project paper.</t>
  </si>
  <si>
    <t>Materials
  (x1)</t>
  </si>
  <si>
    <t>The materials used exemplary contributed and significantly led to project understanding.</t>
  </si>
  <si>
    <t>The materials used contributed and significantly led to project understanding.</t>
  </si>
  <si>
    <t>The materials used contributed to project understanding.</t>
  </si>
  <si>
    <t>The materials used somehow contributed to project understanding</t>
  </si>
  <si>
    <t>The materials used did not contribute to project understanding.</t>
  </si>
  <si>
    <t>Manner of Presentation (X1)</t>
  </si>
  <si>
    <t>The presenters were able to communicate the project ideas in a most appropriate manner.</t>
  </si>
  <si>
    <t>The presenters were able to communicate the project ideas</t>
  </si>
  <si>
    <t>The presenters were able to communicate most of the project ideas.</t>
  </si>
  <si>
    <t>The presenters were able to communicate some of the project ideas.</t>
  </si>
  <si>
    <t>The presenters were not able to communicate project ideas.</t>
  </si>
  <si>
    <t>Presentation of Project Overview
(x2)</t>
  </si>
  <si>
    <t>Project overview was clearly explained</t>
  </si>
  <si>
    <t>Project overview was adequately explained</t>
  </si>
  <si>
    <t>Project overview was somehow explained</t>
  </si>
  <si>
    <t>Project overview is not clearly explained</t>
  </si>
  <si>
    <t>There is no project overview</t>
  </si>
  <si>
    <t>JUSTINE JUDE C. PURA</t>
  </si>
  <si>
    <t>Panelist</t>
  </si>
  <si>
    <t>ORAL DEFENSE COMMENT SHEET</t>
  </si>
  <si>
    <t>COMMENTS:</t>
  </si>
  <si>
    <t>PROJECT TITLE</t>
  </si>
  <si>
    <t>STUDENT’S INDIVIDUAL SCORE</t>
  </si>
  <si>
    <t>Subject Mastery 
 (x8)</t>
  </si>
  <si>
    <t>Student discusses the subject with enough information, provides supporting details and gives specific examples.</t>
  </si>
  <si>
    <t>Student discusses the subject with enough information and supporting details.</t>
  </si>
  <si>
    <t>Student discusses the subject with enough information.</t>
  </si>
  <si>
    <t>Student discusses the subject with very minimal details during the discussion.</t>
  </si>
  <si>
    <t>Student has no subject mastery at all.</t>
  </si>
  <si>
    <t>Ability to Answer Questions 
 (x6)</t>
  </si>
  <si>
    <t>Student can answer all questions about the subject and can explain thoroughly.</t>
  </si>
  <si>
    <t>Student can answer most questions about the subject.</t>
  </si>
  <si>
    <t>Student can answer some questions about the subject.</t>
  </si>
  <si>
    <t>Student can answer few questions about the subject.</t>
  </si>
  <si>
    <t>Student cannot answer any question about the subject.</t>
  </si>
  <si>
    <t>Delivery 
 (x2)</t>
  </si>
  <si>
    <t>Student shows very excellent gestures and expressions to convey ideas.</t>
  </si>
  <si>
    <t>Student shows very good gestures and expressions to convey ideas.</t>
  </si>
  <si>
    <t>Student shows good gestures and expressions to convey ideas.</t>
  </si>
  <si>
    <t>Student shows gestures and expressions that needs improvement to convey ideas.</t>
  </si>
  <si>
    <t>Student show poor gestures and expressions to convey ideas.</t>
  </si>
  <si>
    <t>Verbal and Non Verbal Ability
 (x2)</t>
  </si>
  <si>
    <t>Correct grammar, pronunciation, choice of words and use of the English language in general are exceptional.</t>
  </si>
  <si>
    <t>Correct grammar, pronunciation, choice of words and use of the English language in general are good.</t>
  </si>
  <si>
    <t>Correct grammar, pronunciation, choice of words and use of the English language in general are acceptable.</t>
  </si>
  <si>
    <t>Correct grammar, pronunciation, choice of words, and use of the English language are acceptable, with some flaws.</t>
  </si>
  <si>
    <t>Correct grammar, pronunciation, choice of words and use of the English language in general are rarely observed.</t>
  </si>
  <si>
    <t>Grooming 
 (x2)</t>
  </si>
  <si>
    <t>Student wears formal attire and appears professional, well groomed, and decent.</t>
  </si>
  <si>
    <t>Student appears professional and decent.</t>
  </si>
  <si>
    <t>Student is well-groomed and in corporate attire.</t>
  </si>
  <si>
    <t>Appearance is unprofessional but attempts have been made to look decent.</t>
  </si>
  <si>
    <t>Appearance is unprofessional.</t>
  </si>
  <si>
    <t>TOTAL</t>
  </si>
  <si>
    <t>Panel 1</t>
  </si>
  <si>
    <t>3
 FAIR</t>
  </si>
  <si>
    <t>1
 POOR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</si>
</sst>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scheme val="minor"/>
    </font>
    <font>
      <b/>
      <sz val="20"/>
      <color rgb="FF006600"/>
      <name val="Calibri"/>
      <family val="2"/>
    </font>
    <font>
      <b/>
      <sz val="13"/>
      <color rgb="FF006600"/>
      <name val="Calibri"/>
      <family val="2"/>
    </font>
    <font>
      <sz val="10"/>
      <color rgb="FF000000"/>
      <name val="Arial"/>
      <family val="2"/>
    </font>
    <font>
      <b/>
      <sz val="12"/>
      <color rgb="FFFFFFFF"/>
      <name val="Calibri"/>
      <family val="2"/>
    </font>
    <font>
      <sz val="10"/>
      <name val="Arial"/>
      <family val="2"/>
    </font>
    <font>
      <b/>
      <sz val="8"/>
      <color rgb="FF00000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0"/>
      <color rgb="FFFFFFFF"/>
      <name val="Calibri"/>
      <family val="2"/>
    </font>
    <font>
      <b/>
      <sz val="9"/>
      <color rgb="FF000000"/>
      <name val="Calibri"/>
      <family val="2"/>
    </font>
    <font>
      <b/>
      <sz val="24"/>
      <color rgb="FF000000"/>
      <name val="Arial"/>
      <family val="2"/>
    </font>
    <font>
      <b/>
      <sz val="24"/>
      <color rgb="FF006600"/>
      <name val="Arial"/>
      <family val="2"/>
    </font>
    <font>
      <b/>
      <sz val="15"/>
      <color rgb="FF006600"/>
      <name val="Calibri"/>
      <family val="2"/>
    </font>
    <font>
      <b/>
      <sz val="9"/>
      <color rgb="FFFFFFFF"/>
      <name val="Calibri"/>
      <family val="2"/>
    </font>
    <font>
      <b/>
      <sz val="10"/>
      <color rgb="FF2E6703"/>
      <name val="Calibri"/>
      <family val="2"/>
    </font>
    <font>
      <b/>
      <sz val="14"/>
      <color rgb="FF2E6703"/>
      <name val="Calibri"/>
      <family val="2"/>
    </font>
    <font>
      <b/>
      <sz val="10"/>
      <color rgb="FF2E6703"/>
      <name val="Times New Roman"/>
      <family val="1"/>
    </font>
    <font>
      <sz val="9"/>
      <color rgb="FF000000"/>
      <name val="Times New Roman"/>
      <family val="1"/>
    </font>
    <font>
      <b/>
      <sz val="24"/>
      <color rgb="FF006600"/>
      <name val="Calibri"/>
      <family val="2"/>
    </font>
    <font>
      <sz val="10"/>
      <color rgb="FFFFFFFF"/>
      <name val="Arial"/>
      <family val="2"/>
    </font>
    <font>
      <b/>
      <sz val="11"/>
      <color rgb="FF2E6703"/>
      <name val="Calibri"/>
      <family val="2"/>
    </font>
    <font>
      <b/>
      <sz val="9"/>
      <color rgb="FF2E6703"/>
      <name val="Calibri"/>
      <family val="2"/>
    </font>
    <font>
      <sz val="8"/>
      <color rgb="FF000000"/>
      <name val="Times New Roman"/>
      <family val="1"/>
    </font>
    <font>
      <b/>
      <sz val="10"/>
      <color rgb="FF2E6703"/>
      <name val="Arial"/>
      <family val="2"/>
    </font>
    <font>
      <b/>
      <sz val="11"/>
      <color rgb="FF006600"/>
      <name val="Calibri"/>
      <family val="2"/>
    </font>
    <font>
      <b/>
      <sz val="8"/>
      <color theme="1"/>
      <name val="Calibri"/>
      <family val="2"/>
    </font>
    <font>
      <b/>
      <sz val="14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</font>
    <font>
      <sz val="8"/>
      <color rgb="FF000000"/>
      <name val="Arial"/>
      <family val="2"/>
    </font>
    <font>
      <i/>
      <sz val="18"/>
      <color rgb="FF000000"/>
      <name val="Arial"/>
      <family val="2"/>
    </font>
    <font>
      <b/>
      <sz val="18"/>
      <color rgb="FF000000"/>
      <name val="Arial"/>
      <family val="2"/>
    </font>
    <font>
      <b/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6600"/>
        <bgColor rgb="FF006600"/>
      </patternFill>
    </fill>
    <fill>
      <patternFill patternType="solid">
        <fgColor rgb="FF008000"/>
        <bgColor rgb="FF008000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2E6703"/>
      </left>
      <right style="thin">
        <color rgb="FF2E6703"/>
      </right>
      <top style="thin">
        <color rgb="FF2E6703"/>
      </top>
      <bottom style="thin">
        <color rgb="FF2E6703"/>
      </bottom>
      <diagonal/>
    </border>
    <border>
      <left style="thin">
        <color rgb="FF006600"/>
      </left>
      <right style="thin">
        <color rgb="FF006600"/>
      </right>
      <top style="thin">
        <color rgb="FF006600"/>
      </top>
      <bottom style="thin">
        <color rgb="FF0066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6600"/>
      </left>
      <right/>
      <top style="thin">
        <color rgb="FF006600"/>
      </top>
      <bottom style="thin">
        <color rgb="FF006600"/>
      </bottom>
      <diagonal/>
    </border>
    <border>
      <left/>
      <right/>
      <top style="thin">
        <color rgb="FF006600"/>
      </top>
      <bottom style="thin">
        <color rgb="FF006600"/>
      </bottom>
      <diagonal/>
    </border>
    <border>
      <left/>
      <right style="thin">
        <color rgb="FF006600"/>
      </right>
      <top style="thin">
        <color rgb="FF006600"/>
      </top>
      <bottom style="thin">
        <color rgb="FF006600"/>
      </bottom>
      <diagonal/>
    </border>
    <border>
      <left style="thin">
        <color rgb="FF006600"/>
      </left>
      <right style="thin">
        <color rgb="FF006600"/>
      </right>
      <top/>
      <bottom style="thin">
        <color rgb="FF0066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9" fillId="0" borderId="0" xfId="0" applyFont="1" applyAlignment="1">
      <alignment horizontal="left"/>
    </xf>
    <xf numFmtId="0" fontId="11" fillId="0" borderId="6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1" fillId="3" borderId="0" xfId="0" applyFont="1" applyFill="1"/>
    <xf numFmtId="0" fontId="15" fillId="3" borderId="5" xfId="0" applyFont="1" applyFill="1" applyBorder="1" applyAlignment="1">
      <alignment horizontal="left"/>
    </xf>
    <xf numFmtId="0" fontId="15" fillId="3" borderId="6" xfId="0" applyFont="1" applyFill="1" applyBorder="1" applyAlignment="1">
      <alignment horizontal="left"/>
    </xf>
    <xf numFmtId="0" fontId="16" fillId="0" borderId="9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top" wrapText="1"/>
    </xf>
    <xf numFmtId="0" fontId="19" fillId="0" borderId="13" xfId="0" applyFont="1" applyBorder="1" applyAlignment="1">
      <alignment horizontal="center" vertical="top" wrapText="1"/>
    </xf>
    <xf numFmtId="0" fontId="20" fillId="0" borderId="11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1" fillId="4" borderId="0" xfId="0" applyFont="1" applyFill="1"/>
    <xf numFmtId="0" fontId="15" fillId="4" borderId="5" xfId="0" applyFont="1" applyFill="1" applyBorder="1" applyAlignment="1">
      <alignment horizontal="left"/>
    </xf>
    <xf numFmtId="0" fontId="21" fillId="4" borderId="0" xfId="0" applyFont="1" applyFill="1" applyAlignment="1">
      <alignment horizontal="left" vertical="center"/>
    </xf>
    <xf numFmtId="0" fontId="21" fillId="3" borderId="0" xfId="0" applyFont="1" applyFill="1" applyAlignment="1">
      <alignment horizontal="left" vertical="center"/>
    </xf>
    <xf numFmtId="0" fontId="22" fillId="0" borderId="12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left" vertical="center" wrapText="1"/>
    </xf>
    <xf numFmtId="0" fontId="19" fillId="0" borderId="14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5" fillId="3" borderId="6" xfId="0" applyFont="1" applyFill="1" applyBorder="1" applyAlignment="1">
      <alignment horizontal="left" vertical="center"/>
    </xf>
    <xf numFmtId="0" fontId="22" fillId="0" borderId="11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6" fillId="0" borderId="15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/>
    </xf>
    <xf numFmtId="0" fontId="25" fillId="0" borderId="12" xfId="0" applyFont="1" applyBorder="1" applyAlignment="1">
      <alignment vertical="top"/>
    </xf>
    <xf numFmtId="0" fontId="19" fillId="0" borderId="19" xfId="0" applyFont="1" applyBorder="1" applyAlignment="1">
      <alignment horizontal="left" vertical="center" wrapText="1"/>
    </xf>
    <xf numFmtId="0" fontId="25" fillId="0" borderId="12" xfId="0" applyFont="1" applyBorder="1" applyAlignment="1">
      <alignment vertical="top" wrapText="1"/>
    </xf>
    <xf numFmtId="0" fontId="18" fillId="0" borderId="14" xfId="0" applyFont="1" applyBorder="1" applyAlignment="1">
      <alignment horizontal="left" vertical="top" wrapText="1"/>
    </xf>
    <xf numFmtId="0" fontId="26" fillId="0" borderId="0" xfId="0" applyFont="1" applyAlignment="1">
      <alignment horizontal="center"/>
    </xf>
    <xf numFmtId="0" fontId="29" fillId="0" borderId="0" xfId="0" applyFont="1"/>
    <xf numFmtId="0" fontId="30" fillId="0" borderId="0" xfId="0" applyFont="1"/>
    <xf numFmtId="0" fontId="8" fillId="0" borderId="0" xfId="0" applyFont="1" applyAlignment="1">
      <alignment horizontal="left"/>
    </xf>
    <xf numFmtId="0" fontId="16" fillId="0" borderId="6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/>
    </xf>
    <xf numFmtId="0" fontId="33" fillId="5" borderId="11" xfId="0" applyFont="1" applyFill="1" applyBorder="1" applyAlignment="1">
      <alignment horizontal="center"/>
    </xf>
    <xf numFmtId="0" fontId="34" fillId="0" borderId="15" xfId="0" applyFont="1" applyBorder="1" applyAlignment="1">
      <alignment horizontal="center"/>
    </xf>
    <xf numFmtId="0" fontId="34" fillId="0" borderId="11" xfId="0" applyFont="1" applyBorder="1" applyAlignment="1">
      <alignment horizontal="center"/>
    </xf>
    <xf numFmtId="0" fontId="27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0" fontId="28" fillId="0" borderId="7" xfId="0" applyFont="1" applyBorder="1" applyAlignment="1">
      <alignment horizontal="center" wrapText="1"/>
    </xf>
    <xf numFmtId="0" fontId="0" fillId="0" borderId="0" xfId="0"/>
    <xf numFmtId="0" fontId="5" fillId="0" borderId="8" xfId="0" applyFont="1" applyBorder="1"/>
    <xf numFmtId="0" fontId="5" fillId="0" borderId="7" xfId="0" applyFont="1" applyBorder="1"/>
    <xf numFmtId="0" fontId="5" fillId="0" borderId="9" xfId="0" applyFont="1" applyBorder="1"/>
    <xf numFmtId="0" fontId="28" fillId="0" borderId="7" xfId="0" applyFont="1" applyBorder="1" applyAlignment="1">
      <alignment horizontal="center"/>
    </xf>
    <xf numFmtId="0" fontId="30" fillId="0" borderId="10" xfId="0" applyFont="1" applyBorder="1"/>
    <xf numFmtId="0" fontId="12" fillId="0" borderId="4" xfId="0" applyFont="1" applyBorder="1" applyAlignment="1">
      <alignment horizontal="center" vertical="top"/>
    </xf>
    <xf numFmtId="0" fontId="5" fillId="0" borderId="5" xfId="0" applyFont="1" applyBorder="1"/>
    <xf numFmtId="0" fontId="5" fillId="0" borderId="6" xfId="0" applyFont="1" applyBorder="1"/>
    <xf numFmtId="0" fontId="14" fillId="0" borderId="0" xfId="0" applyFont="1" applyAlignment="1">
      <alignment horizontal="center"/>
    </xf>
    <xf numFmtId="0" fontId="11" fillId="3" borderId="16" xfId="0" applyFont="1" applyFill="1" applyBorder="1" applyAlignment="1">
      <alignment horizontal="left" wrapText="1"/>
    </xf>
    <xf numFmtId="0" fontId="5" fillId="0" borderId="17" xfId="0" applyFont="1" applyBorder="1"/>
    <xf numFmtId="0" fontId="5" fillId="0" borderId="18" xfId="0" applyFont="1" applyBorder="1"/>
    <xf numFmtId="0" fontId="8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2" borderId="1" xfId="0" applyFont="1" applyFill="1" applyBorder="1" applyAlignment="1">
      <alignment horizontal="left"/>
    </xf>
    <xf numFmtId="0" fontId="5" fillId="0" borderId="2" xfId="0" applyFont="1" applyBorder="1"/>
    <xf numFmtId="0" fontId="5" fillId="0" borderId="3" xfId="0" applyFont="1" applyBorder="1"/>
    <xf numFmtId="0" fontId="27" fillId="0" borderId="4" xfId="0" applyFont="1" applyBorder="1"/>
    <xf numFmtId="0" fontId="11" fillId="0" borderId="4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/>
    </xf>
    <xf numFmtId="0" fontId="7" fillId="0" borderId="7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10" fillId="2" borderId="4" xfId="0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8" fillId="0" borderId="10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35" fillId="0" borderId="4" xfId="0" applyFont="1" applyBorder="1" applyAlignment="1">
      <alignment horizontal="left" vertical="top"/>
    </xf>
    <xf numFmtId="0" fontId="34" fillId="0" borderId="5" xfId="0" applyFont="1" applyBorder="1" applyAlignment="1">
      <alignment horizontal="center"/>
    </xf>
    <xf numFmtId="0" fontId="32" fillId="0" borderId="20" xfId="0" applyFont="1" applyBorder="1" applyAlignment="1">
      <alignment horizontal="left" wrapText="1"/>
    </xf>
    <xf numFmtId="0" fontId="5" fillId="0" borderId="12" xfId="0" applyFont="1" applyBorder="1"/>
    <xf numFmtId="0" fontId="11" fillId="0" borderId="5" xfId="0" applyFont="1" applyBorder="1" applyAlignment="1">
      <alignment horizontal="center"/>
    </xf>
    <xf numFmtId="0" fontId="25" fillId="0" borderId="20" xfId="0" applyFont="1" applyBorder="1" applyAlignment="1">
      <alignment horizontal="left" wrapText="1"/>
    </xf>
    <xf numFmtId="0" fontId="31" fillId="0" borderId="9" xfId="0" applyFont="1" applyBorder="1" applyAlignment="1">
      <alignment horizontal="left"/>
    </xf>
    <xf numFmtId="0" fontId="31" fillId="0" borderId="10" xfId="0" applyFont="1" applyBorder="1" applyAlignment="1">
      <alignment horizontal="left"/>
    </xf>
    <xf numFmtId="0" fontId="16" fillId="0" borderId="5" xfId="0" applyFont="1" applyBorder="1" applyAlignment="1">
      <alignment horizontal="center" vertical="center"/>
    </xf>
    <xf numFmtId="0" fontId="27" fillId="0" borderId="1" xfId="0" applyFont="1" applyBorder="1"/>
    <xf numFmtId="0" fontId="28" fillId="0" borderId="9" xfId="0" applyFont="1" applyBorder="1" applyAlignment="1">
      <alignment horizontal="center"/>
    </xf>
    <xf numFmtId="0" fontId="4" fillId="2" borderId="4" xfId="0" applyFont="1" applyFill="1" applyBorder="1"/>
    <xf numFmtId="0" fontId="4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172827</xdr:colOff>
      <xdr:row>56</xdr:row>
      <xdr:rowOff>2</xdr:rowOff>
    </xdr:from>
    <xdr:to>
      <xdr:col>3</xdr:col>
      <xdr:colOff>864125</xdr:colOff>
      <xdr:row>57</xdr:row>
      <xdr:rowOff>172634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49E1B46-64DE-4B68-316D-EF0FC4134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559" b="89706" l="6707" r="89634">
                      <a14:foregroundMark x1="17073" y1="85294" x2="38415" y2="68382"/>
                      <a14:foregroundMark x1="27439" y1="65441" x2="68293" y2="49265"/>
                      <a14:foregroundMark x1="20732" y1="49265" x2="31707" y2="50735"/>
                      <a14:foregroundMark x1="6707" y1="80882" x2="18293" y2="74265"/>
                      <a14:foregroundMark x1="62195" y1="55147" x2="86585" y2="35294"/>
                      <a14:foregroundMark x1="53659" y1="36765" x2="53659" y2="36765"/>
                      <a14:foregroundMark x1="39634" y1="36765" x2="39634" y2="36765"/>
                      <a14:foregroundMark x1="39634" y1="46324" x2="39634" y2="46324"/>
                      <a14:foregroundMark x1="47561" y1="36765" x2="47561" y2="3676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2909" y="23755548"/>
          <a:ext cx="691298" cy="57327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304800</xdr:colOff>
      <xdr:row>27</xdr:row>
      <xdr:rowOff>228601</xdr:rowOff>
    </xdr:from>
    <xdr:to>
      <xdr:col>7</xdr:col>
      <xdr:colOff>321184</xdr:colOff>
      <xdr:row>29</xdr:row>
      <xdr:rowOff>181387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9F39E2-4AB0-4185-9D0D-384B9A3D8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559" b="89706" l="6707" r="89634">
                      <a14:foregroundMark x1="17073" y1="85294" x2="38415" y2="68382"/>
                      <a14:foregroundMark x1="27439" y1="65441" x2="68293" y2="49265"/>
                      <a14:foregroundMark x1="20732" y1="49265" x2="31707" y2="50735"/>
                      <a14:foregroundMark x1="6707" y1="80882" x2="18293" y2="74265"/>
                      <a14:foregroundMark x1="62195" y1="55147" x2="86585" y2="35294"/>
                      <a14:foregroundMark x1="53659" y1="36765" x2="53659" y2="36765"/>
                      <a14:foregroundMark x1="39634" y1="36765" x2="39634" y2="36765"/>
                      <a14:foregroundMark x1="39634" y1="46324" x2="39634" y2="46324"/>
                      <a14:foregroundMark x1="47561" y1="36765" x2="47561" y2="3676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4943" y="7130144"/>
          <a:ext cx="691298" cy="5732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6B440-D12E-4D3C-BDC4-77203F20AEB7}">
  <dimension ref="A1:G79"/>
  <sheetViews>
    <sheetView view="pageBreakPreview" topLeftCell="A52" zoomScale="97" zoomScaleNormal="100" workbookViewId="0">
      <selection activeCell="E61" sqref="E61"/>
    </sheetView>
  </sheetViews>
  <sheetFormatPr defaultRowHeight="14.4" x14ac:dyDescent="0.3"/>
  <cols>
    <col min="1" max="1" width="18.88671875" customWidth="1"/>
    <col min="2" max="2" width="15.44140625" customWidth="1"/>
    <col min="3" max="3" width="14.77734375" customWidth="1"/>
    <col min="4" max="4" width="14.5546875" customWidth="1"/>
    <col min="5" max="5" width="17.88671875" customWidth="1"/>
    <col min="6" max="6" width="13.5546875" customWidth="1"/>
    <col min="7" max="7" width="12.5546875" customWidth="1"/>
  </cols>
  <sheetData>
    <row r="1" spans="1:7" ht="25.8" x14ac:dyDescent="0.5">
      <c r="A1" s="72" t="s">
        <v>0</v>
      </c>
      <c r="B1" s="57"/>
      <c r="C1" s="57"/>
      <c r="D1" s="57"/>
      <c r="E1" s="57"/>
      <c r="F1" s="57"/>
      <c r="G1" s="57"/>
    </row>
    <row r="2" spans="1:7" ht="17.399999999999999" x14ac:dyDescent="0.35">
      <c r="A2" s="73" t="s">
        <v>1</v>
      </c>
      <c r="B2" s="57"/>
      <c r="C2" s="57"/>
      <c r="D2" s="57"/>
      <c r="E2" s="57"/>
      <c r="F2" s="57"/>
      <c r="G2" s="57"/>
    </row>
    <row r="3" spans="1:7" ht="17.399999999999999" x14ac:dyDescent="0.35">
      <c r="A3" s="1"/>
      <c r="B3" s="2"/>
      <c r="C3" s="2"/>
      <c r="D3" s="2"/>
      <c r="E3" s="2"/>
      <c r="F3" s="2"/>
      <c r="G3" s="2"/>
    </row>
    <row r="4" spans="1:7" ht="15.6" x14ac:dyDescent="0.3">
      <c r="A4" s="74" t="s">
        <v>2</v>
      </c>
      <c r="B4" s="75"/>
      <c r="C4" s="75"/>
      <c r="D4" s="75"/>
      <c r="E4" s="75"/>
      <c r="F4" s="75"/>
      <c r="G4" s="76"/>
    </row>
    <row r="5" spans="1:7" x14ac:dyDescent="0.3">
      <c r="A5" s="80" t="s">
        <v>3</v>
      </c>
      <c r="B5" s="64"/>
      <c r="C5" s="64"/>
      <c r="D5" s="64"/>
      <c r="E5" s="64"/>
      <c r="F5" s="64"/>
      <c r="G5" s="65"/>
    </row>
    <row r="6" spans="1:7" x14ac:dyDescent="0.3">
      <c r="A6" s="81"/>
      <c r="B6" s="57"/>
      <c r="C6" s="57"/>
      <c r="D6" s="57"/>
      <c r="E6" s="57"/>
      <c r="F6" s="57"/>
      <c r="G6" s="58"/>
    </row>
    <row r="7" spans="1:7" x14ac:dyDescent="0.3">
      <c r="A7" s="59"/>
      <c r="B7" s="57"/>
      <c r="C7" s="57"/>
      <c r="D7" s="57"/>
      <c r="E7" s="57"/>
      <c r="F7" s="57"/>
      <c r="G7" s="58"/>
    </row>
    <row r="8" spans="1:7" x14ac:dyDescent="0.3">
      <c r="A8" s="86" t="s">
        <v>4</v>
      </c>
      <c r="B8" s="75"/>
      <c r="C8" s="75"/>
      <c r="D8" s="75"/>
      <c r="E8" s="75"/>
      <c r="F8" s="75"/>
      <c r="G8" s="76"/>
    </row>
    <row r="9" spans="1:7" x14ac:dyDescent="0.3">
      <c r="A9" s="79"/>
      <c r="B9" s="75"/>
      <c r="C9" s="75"/>
      <c r="D9" s="75"/>
      <c r="E9" s="75"/>
      <c r="F9" s="75"/>
      <c r="G9" s="76"/>
    </row>
    <row r="10" spans="1:7" x14ac:dyDescent="0.3">
      <c r="A10" s="59"/>
      <c r="B10" s="57"/>
      <c r="C10" s="57"/>
      <c r="D10" s="57"/>
      <c r="E10" s="57"/>
      <c r="F10" s="57"/>
      <c r="G10" s="58"/>
    </row>
    <row r="11" spans="1:7" x14ac:dyDescent="0.3">
      <c r="A11" s="59"/>
      <c r="B11" s="57"/>
      <c r="C11" s="57"/>
      <c r="D11" s="57"/>
      <c r="E11" s="57"/>
      <c r="F11" s="57"/>
      <c r="G11" s="58"/>
    </row>
    <row r="12" spans="1:7" x14ac:dyDescent="0.3">
      <c r="A12" s="60"/>
      <c r="B12" s="54"/>
      <c r="C12" s="54"/>
      <c r="D12" s="54"/>
      <c r="E12" s="54"/>
      <c r="F12" s="54"/>
      <c r="G12" s="55"/>
    </row>
    <row r="13" spans="1:7" x14ac:dyDescent="0.3">
      <c r="A13" s="80" t="s">
        <v>5</v>
      </c>
      <c r="B13" s="64"/>
      <c r="C13" s="64"/>
      <c r="D13" s="64"/>
      <c r="E13" s="64"/>
      <c r="F13" s="64"/>
      <c r="G13" s="65"/>
    </row>
    <row r="14" spans="1:7" x14ac:dyDescent="0.3">
      <c r="A14" s="81"/>
      <c r="B14" s="57"/>
      <c r="C14" s="57"/>
      <c r="D14" s="57"/>
      <c r="E14" s="57"/>
      <c r="F14" s="57"/>
      <c r="G14" s="58"/>
    </row>
    <row r="15" spans="1:7" x14ac:dyDescent="0.3">
      <c r="A15" s="60"/>
      <c r="B15" s="54"/>
      <c r="C15" s="54"/>
      <c r="D15" s="54"/>
      <c r="E15" s="54"/>
      <c r="F15" s="54"/>
      <c r="G15" s="55"/>
    </row>
    <row r="16" spans="1:7" x14ac:dyDescent="0.3">
      <c r="A16" s="2"/>
      <c r="B16" s="2"/>
      <c r="C16" s="2"/>
      <c r="D16" s="2"/>
      <c r="E16" s="2"/>
      <c r="F16" s="2"/>
      <c r="G16" s="2"/>
    </row>
    <row r="17" spans="1:7" ht="15.6" x14ac:dyDescent="0.3">
      <c r="A17" s="82" t="s">
        <v>6</v>
      </c>
      <c r="B17" s="64"/>
      <c r="C17" s="64"/>
      <c r="D17" s="64"/>
      <c r="E17" s="64"/>
      <c r="F17" s="64"/>
      <c r="G17" s="65"/>
    </row>
    <row r="18" spans="1:7" ht="15.6" x14ac:dyDescent="0.3">
      <c r="A18" s="83">
        <v>1</v>
      </c>
      <c r="B18" s="64"/>
      <c r="C18" s="64"/>
      <c r="D18" s="65"/>
      <c r="E18" s="83">
        <v>3</v>
      </c>
      <c r="F18" s="64"/>
      <c r="G18" s="65"/>
    </row>
    <row r="19" spans="1:7" ht="15.6" x14ac:dyDescent="0.3">
      <c r="A19" s="83">
        <v>2</v>
      </c>
      <c r="B19" s="64"/>
      <c r="C19" s="64"/>
      <c r="D19" s="65"/>
      <c r="E19" s="84">
        <v>4</v>
      </c>
      <c r="F19" s="64"/>
      <c r="G19" s="65"/>
    </row>
    <row r="20" spans="1:7" ht="15.6" x14ac:dyDescent="0.3">
      <c r="A20" s="3"/>
      <c r="B20" s="3"/>
      <c r="C20" s="3"/>
      <c r="D20" s="3"/>
      <c r="E20" s="2"/>
      <c r="F20" s="2"/>
      <c r="G20" s="2"/>
    </row>
    <row r="21" spans="1:7" x14ac:dyDescent="0.3">
      <c r="A21" s="2"/>
      <c r="B21" s="2"/>
      <c r="C21" s="2"/>
      <c r="D21" s="2"/>
      <c r="E21" s="2"/>
      <c r="F21" s="2"/>
      <c r="G21" s="2"/>
    </row>
    <row r="22" spans="1:7" x14ac:dyDescent="0.3">
      <c r="A22" s="85" t="s">
        <v>7</v>
      </c>
      <c r="B22" s="64"/>
      <c r="C22" s="64"/>
      <c r="D22" s="64"/>
      <c r="E22" s="64"/>
      <c r="F22" s="64"/>
      <c r="G22" s="65"/>
    </row>
    <row r="23" spans="1:7" x14ac:dyDescent="0.3">
      <c r="A23" s="78" t="s">
        <v>8</v>
      </c>
      <c r="B23" s="64"/>
      <c r="C23" s="64"/>
      <c r="D23" s="64"/>
      <c r="E23" s="78" t="s">
        <v>9</v>
      </c>
      <c r="F23" s="65"/>
      <c r="G23" s="4" t="s">
        <v>10</v>
      </c>
    </row>
    <row r="24" spans="1:7" x14ac:dyDescent="0.3">
      <c r="A24" s="78" t="s">
        <v>11</v>
      </c>
      <c r="B24" s="64"/>
      <c r="C24" s="64"/>
      <c r="D24" s="64"/>
      <c r="E24" s="64"/>
      <c r="F24" s="64"/>
      <c r="G24" s="4" t="s">
        <v>12</v>
      </c>
    </row>
    <row r="25" spans="1:7" ht="30" x14ac:dyDescent="0.5">
      <c r="A25" s="63">
        <f>SUM(G31:G36)+SUM(G40:G41)+SUM(G45:G47)</f>
        <v>0</v>
      </c>
      <c r="B25" s="64"/>
      <c r="C25" s="64"/>
      <c r="D25" s="65"/>
      <c r="E25" s="63">
        <f>SUM(G53:G56)</f>
        <v>0</v>
      </c>
      <c r="F25" s="65"/>
      <c r="G25" s="5">
        <f>SUM(G31:G36)+SUM(G40:G41)+SUM(G45:G47)+SUM(G53:G56)</f>
        <v>0</v>
      </c>
    </row>
    <row r="26" spans="1:7" ht="19.8" x14ac:dyDescent="0.4">
      <c r="A26" s="6"/>
      <c r="B26" s="6"/>
      <c r="C26" s="6"/>
      <c r="D26" s="6"/>
      <c r="E26" s="6"/>
      <c r="F26" s="6"/>
      <c r="G26" s="6"/>
    </row>
    <row r="27" spans="1:7" ht="19.8" x14ac:dyDescent="0.4">
      <c r="A27" s="66" t="s">
        <v>13</v>
      </c>
      <c r="B27" s="57"/>
      <c r="C27" s="57"/>
      <c r="D27" s="57"/>
      <c r="E27" s="57"/>
      <c r="F27" s="57"/>
      <c r="G27" s="57"/>
    </row>
    <row r="28" spans="1:7" ht="19.8" x14ac:dyDescent="0.4">
      <c r="A28" s="6"/>
      <c r="B28" s="2"/>
      <c r="C28" s="2"/>
      <c r="D28" s="2"/>
      <c r="E28" s="2"/>
      <c r="F28" s="2"/>
      <c r="G28" s="2"/>
    </row>
    <row r="29" spans="1:7" x14ac:dyDescent="0.3">
      <c r="A29" s="7" t="s">
        <v>14</v>
      </c>
      <c r="B29" s="8"/>
      <c r="C29" s="8"/>
      <c r="D29" s="8"/>
      <c r="E29" s="8"/>
      <c r="F29" s="8"/>
      <c r="G29" s="9"/>
    </row>
    <row r="30" spans="1:7" ht="54" x14ac:dyDescent="0.3">
      <c r="A30" s="10" t="s">
        <v>15</v>
      </c>
      <c r="B30" s="11" t="s">
        <v>16</v>
      </c>
      <c r="C30" s="12" t="s">
        <v>17</v>
      </c>
      <c r="D30" s="12" t="s">
        <v>155</v>
      </c>
      <c r="E30" s="12" t="s">
        <v>19</v>
      </c>
      <c r="F30" s="12" t="s">
        <v>156</v>
      </c>
      <c r="G30" s="13" t="s">
        <v>21</v>
      </c>
    </row>
    <row r="31" spans="1:7" ht="36" x14ac:dyDescent="0.3">
      <c r="A31" s="14" t="s">
        <v>22</v>
      </c>
      <c r="B31" s="15" t="s">
        <v>23</v>
      </c>
      <c r="C31" s="15" t="s">
        <v>24</v>
      </c>
      <c r="D31" s="15" t="s">
        <v>25</v>
      </c>
      <c r="E31" s="15" t="s">
        <v>26</v>
      </c>
      <c r="F31" s="15" t="s">
        <v>27</v>
      </c>
      <c r="G31" s="16"/>
    </row>
    <row r="32" spans="1:7" ht="60" x14ac:dyDescent="0.3">
      <c r="A32" s="14" t="s">
        <v>28</v>
      </c>
      <c r="B32" s="15" t="s">
        <v>29</v>
      </c>
      <c r="C32" s="15" t="s">
        <v>30</v>
      </c>
      <c r="D32" s="15" t="s">
        <v>31</v>
      </c>
      <c r="E32" s="15" t="s">
        <v>32</v>
      </c>
      <c r="F32" s="15" t="s">
        <v>33</v>
      </c>
      <c r="G32" s="16"/>
    </row>
    <row r="33" spans="1:7" ht="168" x14ac:dyDescent="0.3">
      <c r="A33" s="14" t="s">
        <v>34</v>
      </c>
      <c r="B33" s="15" t="s">
        <v>35</v>
      </c>
      <c r="C33" s="15" t="s">
        <v>36</v>
      </c>
      <c r="D33" s="15" t="s">
        <v>37</v>
      </c>
      <c r="E33" s="15" t="s">
        <v>38</v>
      </c>
      <c r="F33" s="15" t="s">
        <v>39</v>
      </c>
      <c r="G33" s="16"/>
    </row>
    <row r="34" spans="1:7" ht="72" x14ac:dyDescent="0.3">
      <c r="A34" s="17" t="s">
        <v>40</v>
      </c>
      <c r="B34" s="18" t="s">
        <v>41</v>
      </c>
      <c r="C34" s="18" t="s">
        <v>42</v>
      </c>
      <c r="D34" s="18" t="s">
        <v>43</v>
      </c>
      <c r="E34" s="18" t="s">
        <v>44</v>
      </c>
      <c r="F34" s="18" t="s">
        <v>45</v>
      </c>
      <c r="G34" s="16"/>
    </row>
    <row r="35" spans="1:7" ht="120" x14ac:dyDescent="0.3">
      <c r="A35" s="17" t="s">
        <v>46</v>
      </c>
      <c r="B35" s="18" t="s">
        <v>47</v>
      </c>
      <c r="C35" s="18" t="s">
        <v>48</v>
      </c>
      <c r="D35" s="18" t="s">
        <v>49</v>
      </c>
      <c r="E35" s="18" t="s">
        <v>50</v>
      </c>
      <c r="F35" s="18" t="s">
        <v>51</v>
      </c>
      <c r="G35" s="16"/>
    </row>
    <row r="36" spans="1:7" ht="96" x14ac:dyDescent="0.3">
      <c r="A36" s="17" t="s">
        <v>52</v>
      </c>
      <c r="B36" s="18" t="s">
        <v>53</v>
      </c>
      <c r="C36" s="18" t="s">
        <v>54</v>
      </c>
      <c r="D36" s="18" t="s">
        <v>55</v>
      </c>
      <c r="E36" s="18" t="s">
        <v>56</v>
      </c>
      <c r="F36" s="18" t="s">
        <v>57</v>
      </c>
      <c r="G36" s="16"/>
    </row>
    <row r="37" spans="1:7" x14ac:dyDescent="0.3">
      <c r="A37" s="19"/>
      <c r="B37" s="20"/>
      <c r="C37" s="20"/>
      <c r="D37" s="20"/>
      <c r="E37" s="20"/>
      <c r="F37" s="20"/>
      <c r="G37" s="21"/>
    </row>
    <row r="38" spans="1:7" x14ac:dyDescent="0.3">
      <c r="A38" s="7" t="s">
        <v>58</v>
      </c>
      <c r="B38" s="8"/>
      <c r="C38" s="8"/>
      <c r="D38" s="8"/>
      <c r="E38" s="8"/>
      <c r="F38" s="8"/>
      <c r="G38" s="22"/>
    </row>
    <row r="39" spans="1:7" ht="28.8" x14ac:dyDescent="0.3">
      <c r="A39" s="10" t="s">
        <v>15</v>
      </c>
      <c r="B39" s="23" t="s">
        <v>59</v>
      </c>
      <c r="C39" s="24" t="s">
        <v>17</v>
      </c>
      <c r="D39" s="24" t="s">
        <v>18</v>
      </c>
      <c r="E39" s="25" t="s">
        <v>60</v>
      </c>
      <c r="F39" s="24" t="s">
        <v>20</v>
      </c>
      <c r="G39" s="23" t="s">
        <v>21</v>
      </c>
    </row>
    <row r="40" spans="1:7" ht="120" x14ac:dyDescent="0.3">
      <c r="A40" s="26" t="s">
        <v>61</v>
      </c>
      <c r="B40" s="27" t="s">
        <v>62</v>
      </c>
      <c r="C40" s="27" t="s">
        <v>63</v>
      </c>
      <c r="D40" s="27" t="s">
        <v>64</v>
      </c>
      <c r="E40" s="27" t="s">
        <v>65</v>
      </c>
      <c r="F40" s="27" t="s">
        <v>66</v>
      </c>
      <c r="G40" s="28"/>
    </row>
    <row r="41" spans="1:7" ht="84" x14ac:dyDescent="0.3">
      <c r="A41" s="26" t="s">
        <v>67</v>
      </c>
      <c r="B41" s="27" t="s">
        <v>68</v>
      </c>
      <c r="C41" s="27" t="s">
        <v>69</v>
      </c>
      <c r="D41" s="27" t="s">
        <v>70</v>
      </c>
      <c r="E41" s="27" t="s">
        <v>71</v>
      </c>
      <c r="F41" s="27" t="s">
        <v>72</v>
      </c>
      <c r="G41" s="28"/>
    </row>
    <row r="42" spans="1:7" x14ac:dyDescent="0.3">
      <c r="A42" s="2"/>
      <c r="B42" s="2"/>
      <c r="C42" s="2"/>
      <c r="D42" s="2"/>
      <c r="E42" s="2"/>
      <c r="F42" s="2"/>
      <c r="G42" s="29"/>
    </row>
    <row r="43" spans="1:7" x14ac:dyDescent="0.3">
      <c r="A43" s="67" t="s">
        <v>73</v>
      </c>
      <c r="B43" s="68"/>
      <c r="C43" s="68"/>
      <c r="D43" s="68"/>
      <c r="E43" s="68"/>
      <c r="F43" s="69"/>
      <c r="G43" s="30"/>
    </row>
    <row r="44" spans="1:7" ht="43.2" x14ac:dyDescent="0.3">
      <c r="A44" s="10" t="s">
        <v>15</v>
      </c>
      <c r="B44" s="23" t="s">
        <v>16</v>
      </c>
      <c r="C44" s="24" t="s">
        <v>17</v>
      </c>
      <c r="D44" s="24" t="s">
        <v>18</v>
      </c>
      <c r="E44" s="31" t="s">
        <v>19</v>
      </c>
      <c r="F44" s="24" t="s">
        <v>20</v>
      </c>
      <c r="G44" s="11" t="s">
        <v>21</v>
      </c>
    </row>
    <row r="45" spans="1:7" ht="51" x14ac:dyDescent="0.3">
      <c r="A45" s="26" t="s">
        <v>74</v>
      </c>
      <c r="B45" s="32" t="s">
        <v>75</v>
      </c>
      <c r="C45" s="32" t="s">
        <v>76</v>
      </c>
      <c r="D45" s="32" t="s">
        <v>77</v>
      </c>
      <c r="E45" s="32" t="s">
        <v>78</v>
      </c>
      <c r="F45" s="32" t="s">
        <v>79</v>
      </c>
      <c r="G45" s="16"/>
    </row>
    <row r="46" spans="1:7" ht="31.2" x14ac:dyDescent="0.3">
      <c r="A46" s="26" t="s">
        <v>80</v>
      </c>
      <c r="B46" s="32" t="s">
        <v>81</v>
      </c>
      <c r="C46" s="32" t="s">
        <v>82</v>
      </c>
      <c r="D46" s="32" t="s">
        <v>83</v>
      </c>
      <c r="E46" s="32" t="s">
        <v>84</v>
      </c>
      <c r="F46" s="32" t="s">
        <v>85</v>
      </c>
      <c r="G46" s="16"/>
    </row>
    <row r="47" spans="1:7" ht="40.799999999999997" x14ac:dyDescent="0.3">
      <c r="A47" s="26" t="s">
        <v>86</v>
      </c>
      <c r="B47" s="32" t="s">
        <v>87</v>
      </c>
      <c r="C47" s="32" t="s">
        <v>88</v>
      </c>
      <c r="D47" s="32" t="s">
        <v>89</v>
      </c>
      <c r="E47" s="32" t="s">
        <v>90</v>
      </c>
      <c r="F47" s="32" t="s">
        <v>91</v>
      </c>
      <c r="G47" s="16"/>
    </row>
    <row r="48" spans="1:7" x14ac:dyDescent="0.3">
      <c r="A48" s="33"/>
      <c r="B48" s="2"/>
      <c r="C48" s="2"/>
      <c r="D48" s="2"/>
      <c r="E48" s="2"/>
      <c r="F48" s="2"/>
      <c r="G48" s="29"/>
    </row>
    <row r="49" spans="1:7" x14ac:dyDescent="0.3">
      <c r="A49" s="2"/>
      <c r="B49" s="2"/>
      <c r="C49" s="2"/>
      <c r="D49" s="2"/>
      <c r="E49" s="2"/>
      <c r="F49" s="2"/>
      <c r="G49" s="29"/>
    </row>
    <row r="50" spans="1:7" ht="19.8" x14ac:dyDescent="0.4">
      <c r="A50" s="66" t="s">
        <v>92</v>
      </c>
      <c r="B50" s="57"/>
      <c r="C50" s="57"/>
      <c r="D50" s="57"/>
      <c r="E50" s="57"/>
      <c r="F50" s="57"/>
      <c r="G50" s="29"/>
    </row>
    <row r="51" spans="1:7" ht="18" x14ac:dyDescent="0.3">
      <c r="A51" s="34"/>
      <c r="B51" s="35"/>
      <c r="C51" s="36"/>
      <c r="D51" s="36"/>
      <c r="E51" s="35"/>
      <c r="F51" s="36"/>
      <c r="G51" s="35"/>
    </row>
    <row r="52" spans="1:7" ht="54" x14ac:dyDescent="0.3">
      <c r="A52" s="37" t="s">
        <v>15</v>
      </c>
      <c r="B52" s="38" t="s">
        <v>16</v>
      </c>
      <c r="C52" s="39" t="s">
        <v>17</v>
      </c>
      <c r="D52" s="39" t="s">
        <v>18</v>
      </c>
      <c r="E52" s="38" t="s">
        <v>19</v>
      </c>
      <c r="F52" s="39" t="s">
        <v>20</v>
      </c>
      <c r="G52" s="38" t="s">
        <v>21</v>
      </c>
    </row>
    <row r="53" spans="1:7" ht="60" x14ac:dyDescent="0.3">
      <c r="A53" s="40" t="s">
        <v>93</v>
      </c>
      <c r="B53" s="41" t="s">
        <v>94</v>
      </c>
      <c r="C53" s="41" t="s">
        <v>95</v>
      </c>
      <c r="D53" s="41" t="s">
        <v>96</v>
      </c>
      <c r="E53" s="41" t="s">
        <v>97</v>
      </c>
      <c r="F53" s="41" t="s">
        <v>98</v>
      </c>
      <c r="G53" s="16"/>
    </row>
    <row r="54" spans="1:7" ht="60" x14ac:dyDescent="0.3">
      <c r="A54" s="40" t="s">
        <v>99</v>
      </c>
      <c r="B54" s="27" t="s">
        <v>100</v>
      </c>
      <c r="C54" s="27" t="s">
        <v>101</v>
      </c>
      <c r="D54" s="27" t="s">
        <v>102</v>
      </c>
      <c r="E54" s="27" t="s">
        <v>103</v>
      </c>
      <c r="F54" s="27" t="s">
        <v>104</v>
      </c>
      <c r="G54" s="16"/>
    </row>
    <row r="55" spans="1:7" ht="60" x14ac:dyDescent="0.3">
      <c r="A55" s="42" t="s">
        <v>105</v>
      </c>
      <c r="B55" s="27" t="s">
        <v>106</v>
      </c>
      <c r="C55" s="27" t="s">
        <v>107</v>
      </c>
      <c r="D55" s="27" t="s">
        <v>108</v>
      </c>
      <c r="E55" s="27" t="s">
        <v>109</v>
      </c>
      <c r="F55" s="27" t="s">
        <v>110</v>
      </c>
      <c r="G55" s="16"/>
    </row>
    <row r="56" spans="1:7" ht="39.6" x14ac:dyDescent="0.3">
      <c r="A56" s="43" t="s">
        <v>111</v>
      </c>
      <c r="B56" s="27" t="s">
        <v>112</v>
      </c>
      <c r="C56" s="27" t="s">
        <v>113</v>
      </c>
      <c r="D56" s="27" t="s">
        <v>114</v>
      </c>
      <c r="E56" s="27" t="s">
        <v>115</v>
      </c>
      <c r="F56" s="27" t="s">
        <v>116</v>
      </c>
      <c r="G56" s="16"/>
    </row>
    <row r="57" spans="1:7" ht="31.8" customHeight="1" x14ac:dyDescent="0.3">
      <c r="A57" s="2"/>
      <c r="B57" s="2"/>
      <c r="C57" s="2"/>
      <c r="D57" s="2"/>
      <c r="E57" s="2"/>
      <c r="F57" s="2"/>
      <c r="G57" s="2"/>
    </row>
    <row r="58" spans="1:7" ht="15.6" x14ac:dyDescent="0.3">
      <c r="A58" s="2"/>
      <c r="B58" s="70" t="s">
        <v>117</v>
      </c>
      <c r="C58" s="70"/>
      <c r="D58" s="70"/>
      <c r="E58" s="70"/>
      <c r="F58" s="70"/>
      <c r="G58" s="2"/>
    </row>
    <row r="59" spans="1:7" x14ac:dyDescent="0.3">
      <c r="A59" s="2"/>
      <c r="B59" s="71" t="s">
        <v>118</v>
      </c>
      <c r="C59" s="71"/>
      <c r="D59" s="71"/>
      <c r="E59" s="71"/>
      <c r="F59" s="71"/>
      <c r="G59" s="2"/>
    </row>
    <row r="60" spans="1:7" x14ac:dyDescent="0.3">
      <c r="A60" s="2"/>
      <c r="B60" s="2"/>
      <c r="C60" s="2"/>
      <c r="D60" s="2"/>
      <c r="E60" s="2"/>
      <c r="F60" s="2"/>
      <c r="G60" s="2"/>
    </row>
    <row r="61" spans="1:7" x14ac:dyDescent="0.3">
      <c r="A61" s="2"/>
      <c r="B61" s="2"/>
      <c r="C61" s="2"/>
      <c r="D61" s="2"/>
      <c r="E61" s="2"/>
      <c r="F61" s="2"/>
      <c r="G61" s="2"/>
    </row>
    <row r="62" spans="1:7" ht="25.8" x14ac:dyDescent="0.5">
      <c r="A62" s="72" t="s">
        <v>119</v>
      </c>
      <c r="B62" s="57"/>
      <c r="C62" s="57"/>
      <c r="D62" s="57"/>
      <c r="E62" s="57"/>
      <c r="F62" s="57"/>
      <c r="G62" s="57"/>
    </row>
    <row r="63" spans="1:7" ht="17.399999999999999" x14ac:dyDescent="0.35">
      <c r="A63" s="73" t="s">
        <v>1</v>
      </c>
      <c r="B63" s="57"/>
      <c r="C63" s="57"/>
      <c r="D63" s="57"/>
      <c r="E63" s="57"/>
      <c r="F63" s="57"/>
      <c r="G63" s="57"/>
    </row>
    <row r="64" spans="1:7" x14ac:dyDescent="0.3">
      <c r="A64" s="44"/>
      <c r="B64" s="2"/>
      <c r="C64" s="2"/>
      <c r="D64" s="2"/>
      <c r="E64" s="2"/>
      <c r="F64" s="2"/>
      <c r="G64" s="2"/>
    </row>
    <row r="65" spans="1:7" ht="15.6" x14ac:dyDescent="0.3">
      <c r="A65" s="74" t="s">
        <v>2</v>
      </c>
      <c r="B65" s="75"/>
      <c r="C65" s="75"/>
      <c r="D65" s="75"/>
      <c r="E65" s="75"/>
      <c r="F65" s="75"/>
      <c r="G65" s="76"/>
    </row>
    <row r="66" spans="1:7" x14ac:dyDescent="0.3">
      <c r="A66" s="77" t="s">
        <v>3</v>
      </c>
      <c r="B66" s="64"/>
      <c r="C66" s="64"/>
      <c r="D66" s="64"/>
      <c r="E66" s="64"/>
      <c r="F66" s="64"/>
      <c r="G66" s="65"/>
    </row>
    <row r="67" spans="1:7" x14ac:dyDescent="0.3">
      <c r="A67" s="61"/>
      <c r="B67" s="57"/>
      <c r="C67" s="57"/>
      <c r="D67" s="57"/>
      <c r="E67" s="57"/>
      <c r="F67" s="57"/>
      <c r="G67" s="58"/>
    </row>
    <row r="68" spans="1:7" x14ac:dyDescent="0.3">
      <c r="A68" s="60"/>
      <c r="B68" s="54"/>
      <c r="C68" s="54"/>
      <c r="D68" s="54"/>
      <c r="E68" s="54"/>
      <c r="F68" s="54"/>
      <c r="G68" s="55"/>
    </row>
    <row r="69" spans="1:7" x14ac:dyDescent="0.3">
      <c r="A69" s="53" t="s">
        <v>4</v>
      </c>
      <c r="B69" s="54"/>
      <c r="C69" s="54"/>
      <c r="D69" s="54"/>
      <c r="E69" s="54"/>
      <c r="F69" s="54"/>
      <c r="G69" s="55"/>
    </row>
    <row r="70" spans="1:7" x14ac:dyDescent="0.3">
      <c r="A70" s="56"/>
      <c r="B70" s="57"/>
      <c r="C70" s="57"/>
      <c r="D70" s="57"/>
      <c r="E70" s="57"/>
      <c r="F70" s="57"/>
      <c r="G70" s="58"/>
    </row>
    <row r="71" spans="1:7" x14ac:dyDescent="0.3">
      <c r="A71" s="59"/>
      <c r="B71" s="57"/>
      <c r="C71" s="57"/>
      <c r="D71" s="57"/>
      <c r="E71" s="57"/>
      <c r="F71" s="57"/>
      <c r="G71" s="58"/>
    </row>
    <row r="72" spans="1:7" x14ac:dyDescent="0.3">
      <c r="A72" s="59"/>
      <c r="B72" s="57"/>
      <c r="C72" s="57"/>
      <c r="D72" s="57"/>
      <c r="E72" s="57"/>
      <c r="F72" s="57"/>
      <c r="G72" s="58"/>
    </row>
    <row r="73" spans="1:7" x14ac:dyDescent="0.3">
      <c r="A73" s="60"/>
      <c r="B73" s="54"/>
      <c r="C73" s="54"/>
      <c r="D73" s="54"/>
      <c r="E73" s="54"/>
      <c r="F73" s="54"/>
      <c r="G73" s="55"/>
    </row>
    <row r="74" spans="1:7" x14ac:dyDescent="0.3">
      <c r="A74" s="53" t="s">
        <v>5</v>
      </c>
      <c r="B74" s="54"/>
      <c r="C74" s="54"/>
      <c r="D74" s="54"/>
      <c r="E74" s="54"/>
      <c r="F74" s="54"/>
      <c r="G74" s="55"/>
    </row>
    <row r="75" spans="1:7" x14ac:dyDescent="0.3">
      <c r="A75" s="61"/>
      <c r="B75" s="57"/>
      <c r="C75" s="57"/>
      <c r="D75" s="57"/>
      <c r="E75" s="57"/>
      <c r="F75" s="57"/>
      <c r="G75" s="58"/>
    </row>
    <row r="76" spans="1:7" x14ac:dyDescent="0.3">
      <c r="A76" s="60"/>
      <c r="B76" s="54"/>
      <c r="C76" s="54"/>
      <c r="D76" s="54"/>
      <c r="E76" s="54"/>
      <c r="F76" s="54"/>
      <c r="G76" s="55"/>
    </row>
    <row r="77" spans="1:7" x14ac:dyDescent="0.3">
      <c r="A77" s="2"/>
      <c r="B77" s="2"/>
      <c r="C77" s="2"/>
      <c r="D77" s="2"/>
      <c r="E77" s="2"/>
      <c r="F77" s="2"/>
      <c r="G77" s="2"/>
    </row>
    <row r="78" spans="1:7" x14ac:dyDescent="0.3">
      <c r="A78" s="45" t="s">
        <v>120</v>
      </c>
      <c r="B78" s="46"/>
      <c r="C78" s="46"/>
      <c r="D78" s="46"/>
      <c r="E78" s="46"/>
      <c r="F78" s="46"/>
      <c r="G78" s="46"/>
    </row>
    <row r="79" spans="1:7" ht="177.6" customHeight="1" x14ac:dyDescent="0.3">
      <c r="A79" s="62"/>
      <c r="B79" s="54"/>
      <c r="C79" s="54"/>
      <c r="D79" s="54"/>
      <c r="E79" s="54"/>
      <c r="F79" s="54"/>
      <c r="G79" s="54"/>
    </row>
  </sheetData>
  <mergeCells count="35">
    <mergeCell ref="A8:G8"/>
    <mergeCell ref="A1:G1"/>
    <mergeCell ref="A2:G2"/>
    <mergeCell ref="A4:G4"/>
    <mergeCell ref="A5:G5"/>
    <mergeCell ref="A6:G7"/>
    <mergeCell ref="A24:F24"/>
    <mergeCell ref="A9:G12"/>
    <mergeCell ref="A13:G13"/>
    <mergeCell ref="A14:G15"/>
    <mergeCell ref="A17:G17"/>
    <mergeCell ref="A18:D18"/>
    <mergeCell ref="E18:G18"/>
    <mergeCell ref="A19:D19"/>
    <mergeCell ref="E19:G19"/>
    <mergeCell ref="A22:G22"/>
    <mergeCell ref="A23:D23"/>
    <mergeCell ref="E23:F23"/>
    <mergeCell ref="A67:G68"/>
    <mergeCell ref="A25:D25"/>
    <mergeCell ref="E25:F25"/>
    <mergeCell ref="A27:G27"/>
    <mergeCell ref="A43:F43"/>
    <mergeCell ref="A50:F50"/>
    <mergeCell ref="B58:F58"/>
    <mergeCell ref="B59:F59"/>
    <mergeCell ref="A62:G62"/>
    <mergeCell ref="A63:G63"/>
    <mergeCell ref="A65:G65"/>
    <mergeCell ref="A66:G66"/>
    <mergeCell ref="A69:G69"/>
    <mergeCell ref="A70:G73"/>
    <mergeCell ref="A74:G74"/>
    <mergeCell ref="A75:G76"/>
    <mergeCell ref="A79:G79"/>
  </mergeCells>
  <pageMargins left="0.7" right="0.7" top="0.75" bottom="0.75" header="0.3" footer="0.3"/>
  <pageSetup scale="38" orientation="portrait" horizontalDpi="360" verticalDpi="360" r:id="rId1"/>
  <rowBreaks count="1" manualBreakCount="1">
    <brk id="36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8B8F8-4B1F-4ACF-B7A5-55E96B8728B6}">
  <dimension ref="A1:P999"/>
  <sheetViews>
    <sheetView tabSelected="1" topLeftCell="A20" zoomScale="70" zoomScaleNormal="70" workbookViewId="0">
      <selection activeCell="R39" sqref="R39"/>
    </sheetView>
  </sheetViews>
  <sheetFormatPr defaultColWidth="12.6640625" defaultRowHeight="14.4" x14ac:dyDescent="0.3"/>
  <cols>
    <col min="1" max="1" width="19.109375" customWidth="1"/>
    <col min="2" max="2" width="20" customWidth="1"/>
    <col min="3" max="3" width="17" customWidth="1"/>
    <col min="4" max="4" width="17.88671875" customWidth="1"/>
    <col min="5" max="5" width="15.44140625" customWidth="1"/>
    <col min="6" max="6" width="14.6640625" customWidth="1"/>
    <col min="7" max="7" width="9.88671875" customWidth="1"/>
    <col min="8" max="8" width="10.6640625" customWidth="1"/>
    <col min="9" max="9" width="10.33203125" customWidth="1"/>
    <col min="10" max="10" width="8.88671875" customWidth="1"/>
    <col min="11" max="11" width="9.33203125" customWidth="1"/>
    <col min="12" max="12" width="10.6640625" customWidth="1"/>
    <col min="13" max="13" width="9" customWidth="1"/>
    <col min="14" max="14" width="10.109375" customWidth="1"/>
    <col min="15" max="15" width="11.109375" customWidth="1"/>
    <col min="16" max="16" width="9.88671875" customWidth="1"/>
  </cols>
  <sheetData>
    <row r="1" spans="1:16" ht="25.8" x14ac:dyDescent="0.5">
      <c r="A1" s="72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</row>
    <row r="2" spans="1:16" ht="15.75" customHeight="1" x14ac:dyDescent="0.35">
      <c r="A2" s="73" t="s">
        <v>1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</row>
    <row r="3" spans="1:16" ht="15.75" customHeight="1" x14ac:dyDescent="0.3">
      <c r="A3" s="44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ht="15.75" customHeight="1" x14ac:dyDescent="0.3">
      <c r="A4" s="101" t="s">
        <v>2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6"/>
    </row>
    <row r="5" spans="1:16" ht="15.75" customHeight="1" x14ac:dyDescent="0.3">
      <c r="A5" s="98" t="s">
        <v>3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6"/>
    </row>
    <row r="6" spans="1:16" ht="15.75" customHeight="1" x14ac:dyDescent="0.35">
      <c r="A6" s="61"/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8"/>
    </row>
    <row r="7" spans="1:16" ht="15.75" customHeight="1" x14ac:dyDescent="0.3">
      <c r="A7" s="98" t="s">
        <v>121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6"/>
    </row>
    <row r="8" spans="1:16" ht="15.75" customHeight="1" x14ac:dyDescent="0.35">
      <c r="A8" s="56"/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8"/>
    </row>
    <row r="9" spans="1:16" ht="15.75" customHeight="1" x14ac:dyDescent="0.3">
      <c r="A9" s="98" t="s">
        <v>5</v>
      </c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6"/>
    </row>
    <row r="10" spans="1:16" ht="15.75" customHeight="1" x14ac:dyDescent="0.35">
      <c r="A10" s="99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5"/>
    </row>
    <row r="11" spans="1:16" ht="15.75" customHeigh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ht="15.75" customHeight="1" x14ac:dyDescent="0.3">
      <c r="A12" s="100" t="s">
        <v>6</v>
      </c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5"/>
    </row>
    <row r="13" spans="1:16" ht="15.75" customHeight="1" x14ac:dyDescent="0.3">
      <c r="A13" s="95">
        <v>1</v>
      </c>
      <c r="B13" s="54"/>
      <c r="C13" s="54"/>
      <c r="D13" s="54"/>
      <c r="E13" s="54"/>
      <c r="F13" s="54"/>
      <c r="G13" s="55"/>
      <c r="H13" s="96">
        <v>3</v>
      </c>
      <c r="I13" s="54"/>
      <c r="J13" s="54"/>
      <c r="K13" s="54"/>
      <c r="L13" s="54"/>
      <c r="M13" s="54"/>
      <c r="N13" s="54"/>
      <c r="O13" s="54"/>
      <c r="P13" s="55"/>
    </row>
    <row r="14" spans="1:16" ht="15.75" customHeight="1" x14ac:dyDescent="0.3">
      <c r="A14" s="95">
        <v>2</v>
      </c>
      <c r="B14" s="54"/>
      <c r="C14" s="54"/>
      <c r="D14" s="54"/>
      <c r="E14" s="54"/>
      <c r="F14" s="54"/>
      <c r="G14" s="55"/>
      <c r="H14" s="96">
        <v>4</v>
      </c>
      <c r="I14" s="54"/>
      <c r="J14" s="54"/>
      <c r="K14" s="54"/>
      <c r="L14" s="54"/>
      <c r="M14" s="54"/>
      <c r="N14" s="54"/>
      <c r="O14" s="54"/>
      <c r="P14" s="55"/>
    </row>
    <row r="15" spans="1:16" ht="15.75" customHeight="1" x14ac:dyDescent="0.3">
      <c r="A15" s="47"/>
      <c r="B15" s="47"/>
      <c r="C15" s="47"/>
      <c r="D15" s="47"/>
      <c r="E15" s="47"/>
      <c r="F15" s="47"/>
      <c r="G15" s="47"/>
      <c r="H15" s="2"/>
      <c r="I15" s="2"/>
      <c r="J15" s="2"/>
      <c r="K15" s="2"/>
      <c r="L15" s="2"/>
      <c r="M15" s="2"/>
      <c r="N15" s="2"/>
      <c r="O15" s="2"/>
      <c r="P15" s="2"/>
    </row>
    <row r="16" spans="1:16" ht="15.7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45.75" customHeight="1" x14ac:dyDescent="0.3">
      <c r="A17" s="37" t="s">
        <v>15</v>
      </c>
      <c r="B17" s="48" t="s">
        <v>16</v>
      </c>
      <c r="C17" s="49" t="s">
        <v>17</v>
      </c>
      <c r="D17" s="49" t="s">
        <v>18</v>
      </c>
      <c r="E17" s="48" t="s">
        <v>19</v>
      </c>
      <c r="F17" s="49" t="s">
        <v>20</v>
      </c>
      <c r="G17" s="97" t="s">
        <v>122</v>
      </c>
      <c r="H17" s="64"/>
      <c r="I17" s="64"/>
      <c r="J17" s="64"/>
      <c r="K17" s="64"/>
      <c r="L17" s="64"/>
      <c r="M17" s="64"/>
      <c r="N17" s="64"/>
      <c r="O17" s="64"/>
      <c r="P17" s="65"/>
    </row>
    <row r="18" spans="1:16" ht="15.75" customHeight="1" x14ac:dyDescent="0.3">
      <c r="A18" s="94" t="s">
        <v>123</v>
      </c>
      <c r="B18" s="91" t="s">
        <v>124</v>
      </c>
      <c r="C18" s="91" t="s">
        <v>125</v>
      </c>
      <c r="D18" s="91" t="s">
        <v>126</v>
      </c>
      <c r="E18" s="91" t="s">
        <v>127</v>
      </c>
      <c r="F18" s="91" t="s">
        <v>128</v>
      </c>
      <c r="G18" s="93">
        <v>1</v>
      </c>
      <c r="H18" s="65"/>
      <c r="I18" s="93">
        <v>2</v>
      </c>
      <c r="J18" s="65"/>
      <c r="K18" s="93">
        <v>3</v>
      </c>
      <c r="L18" s="65"/>
      <c r="M18" s="93">
        <v>4</v>
      </c>
      <c r="N18" s="65"/>
      <c r="O18" s="93">
        <v>5</v>
      </c>
      <c r="P18" s="65"/>
    </row>
    <row r="19" spans="1:16" ht="33.75" customHeight="1" x14ac:dyDescent="0.4">
      <c r="A19" s="92"/>
      <c r="B19" s="92"/>
      <c r="C19" s="92"/>
      <c r="D19" s="92"/>
      <c r="E19" s="92"/>
      <c r="F19" s="92"/>
      <c r="G19" s="50"/>
      <c r="H19" s="51">
        <f>G19*8</f>
        <v>0</v>
      </c>
      <c r="I19" s="50"/>
      <c r="J19" s="51">
        <f>I19*8</f>
        <v>0</v>
      </c>
      <c r="K19" s="50"/>
      <c r="L19" s="51">
        <f>K19*8</f>
        <v>0</v>
      </c>
      <c r="M19" s="50"/>
      <c r="N19" s="51">
        <f>M19*8</f>
        <v>0</v>
      </c>
      <c r="O19" s="50"/>
      <c r="P19" s="51">
        <f>O19*8</f>
        <v>0</v>
      </c>
    </row>
    <row r="20" spans="1:16" ht="15.75" customHeight="1" x14ac:dyDescent="0.3">
      <c r="A20" s="94" t="s">
        <v>129</v>
      </c>
      <c r="B20" s="91" t="s">
        <v>130</v>
      </c>
      <c r="C20" s="91" t="s">
        <v>131</v>
      </c>
      <c r="D20" s="91" t="s">
        <v>132</v>
      </c>
      <c r="E20" s="91" t="s">
        <v>133</v>
      </c>
      <c r="F20" s="91" t="s">
        <v>134</v>
      </c>
      <c r="G20" s="93">
        <v>1</v>
      </c>
      <c r="H20" s="65"/>
      <c r="I20" s="93">
        <v>2</v>
      </c>
      <c r="J20" s="65"/>
      <c r="K20" s="93">
        <v>3</v>
      </c>
      <c r="L20" s="65"/>
      <c r="M20" s="93">
        <v>4</v>
      </c>
      <c r="N20" s="65"/>
      <c r="O20" s="93">
        <v>5</v>
      </c>
      <c r="P20" s="65"/>
    </row>
    <row r="21" spans="1:16" ht="44.4" customHeight="1" x14ac:dyDescent="0.4">
      <c r="A21" s="92"/>
      <c r="B21" s="92"/>
      <c r="C21" s="92"/>
      <c r="D21" s="92"/>
      <c r="E21" s="92"/>
      <c r="F21" s="92"/>
      <c r="G21" s="50"/>
      <c r="H21" s="51">
        <f>G21*6</f>
        <v>0</v>
      </c>
      <c r="I21" s="50"/>
      <c r="J21" s="51">
        <f>I21*6</f>
        <v>0</v>
      </c>
      <c r="K21" s="50"/>
      <c r="L21" s="51">
        <f>K21*6</f>
        <v>0</v>
      </c>
      <c r="M21" s="50"/>
      <c r="N21" s="51">
        <f>M21*6</f>
        <v>0</v>
      </c>
      <c r="O21" s="50"/>
      <c r="P21" s="51">
        <f>O21*6</f>
        <v>0</v>
      </c>
    </row>
    <row r="22" spans="1:16" ht="15.75" customHeight="1" x14ac:dyDescent="0.3">
      <c r="A22" s="94" t="s">
        <v>135</v>
      </c>
      <c r="B22" s="91" t="s">
        <v>136</v>
      </c>
      <c r="C22" s="91" t="s">
        <v>137</v>
      </c>
      <c r="D22" s="91" t="s">
        <v>138</v>
      </c>
      <c r="E22" s="91" t="s">
        <v>139</v>
      </c>
      <c r="F22" s="91" t="s">
        <v>140</v>
      </c>
      <c r="G22" s="93">
        <v>1</v>
      </c>
      <c r="H22" s="65"/>
      <c r="I22" s="93">
        <v>2</v>
      </c>
      <c r="J22" s="65"/>
      <c r="K22" s="93">
        <v>3</v>
      </c>
      <c r="L22" s="65"/>
      <c r="M22" s="93">
        <v>4</v>
      </c>
      <c r="N22" s="65"/>
      <c r="O22" s="93">
        <v>5</v>
      </c>
      <c r="P22" s="65"/>
    </row>
    <row r="23" spans="1:16" ht="28.2" customHeight="1" x14ac:dyDescent="0.4">
      <c r="A23" s="92"/>
      <c r="B23" s="92"/>
      <c r="C23" s="92"/>
      <c r="D23" s="92"/>
      <c r="E23" s="92"/>
      <c r="F23" s="92"/>
      <c r="G23" s="50"/>
      <c r="H23" s="52">
        <f>G23*2</f>
        <v>0</v>
      </c>
      <c r="I23" s="50"/>
      <c r="J23" s="52">
        <f>I23*2</f>
        <v>0</v>
      </c>
      <c r="K23" s="50"/>
      <c r="L23" s="52">
        <f>K23*2</f>
        <v>0</v>
      </c>
      <c r="M23" s="50"/>
      <c r="N23" s="52">
        <f>M23*2</f>
        <v>0</v>
      </c>
      <c r="O23" s="50"/>
      <c r="P23" s="52">
        <f>O23*2</f>
        <v>0</v>
      </c>
    </row>
    <row r="24" spans="1:16" ht="15.75" customHeight="1" x14ac:dyDescent="0.3">
      <c r="A24" s="94" t="s">
        <v>141</v>
      </c>
      <c r="B24" s="91" t="s">
        <v>142</v>
      </c>
      <c r="C24" s="91" t="s">
        <v>143</v>
      </c>
      <c r="D24" s="91" t="s">
        <v>144</v>
      </c>
      <c r="E24" s="91" t="s">
        <v>145</v>
      </c>
      <c r="F24" s="91" t="s">
        <v>146</v>
      </c>
      <c r="G24" s="93">
        <v>1</v>
      </c>
      <c r="H24" s="65"/>
      <c r="I24" s="93">
        <v>2</v>
      </c>
      <c r="J24" s="65"/>
      <c r="K24" s="93"/>
      <c r="L24" s="65"/>
      <c r="M24" s="93"/>
      <c r="N24" s="65"/>
      <c r="O24" s="93">
        <v>5</v>
      </c>
      <c r="P24" s="65"/>
    </row>
    <row r="25" spans="1:16" ht="28.2" customHeight="1" x14ac:dyDescent="0.4">
      <c r="A25" s="92"/>
      <c r="B25" s="92"/>
      <c r="C25" s="92"/>
      <c r="D25" s="92"/>
      <c r="E25" s="92"/>
      <c r="F25" s="92"/>
      <c r="G25" s="50"/>
      <c r="H25" s="52">
        <f>G25*2</f>
        <v>0</v>
      </c>
      <c r="I25" s="50"/>
      <c r="J25" s="52">
        <f>I25*2</f>
        <v>0</v>
      </c>
      <c r="K25" s="50"/>
      <c r="L25" s="52">
        <f>K25*2</f>
        <v>0</v>
      </c>
      <c r="M25" s="50"/>
      <c r="N25" s="52">
        <f>M25*2</f>
        <v>0</v>
      </c>
      <c r="O25" s="50"/>
      <c r="P25" s="52">
        <f>O25*2</f>
        <v>0</v>
      </c>
    </row>
    <row r="26" spans="1:16" ht="15.75" customHeight="1" x14ac:dyDescent="0.3">
      <c r="A26" s="94" t="s">
        <v>147</v>
      </c>
      <c r="B26" s="91" t="s">
        <v>148</v>
      </c>
      <c r="C26" s="91" t="s">
        <v>149</v>
      </c>
      <c r="D26" s="91" t="s">
        <v>150</v>
      </c>
      <c r="E26" s="91" t="s">
        <v>151</v>
      </c>
      <c r="F26" s="91" t="s">
        <v>152</v>
      </c>
      <c r="G26" s="93">
        <v>1</v>
      </c>
      <c r="H26" s="65"/>
      <c r="I26" s="93">
        <v>2</v>
      </c>
      <c r="J26" s="65"/>
      <c r="K26" s="93">
        <v>3</v>
      </c>
      <c r="L26" s="65"/>
      <c r="M26" s="93">
        <v>4</v>
      </c>
      <c r="N26" s="65"/>
      <c r="O26" s="93">
        <v>5</v>
      </c>
      <c r="P26" s="65"/>
    </row>
    <row r="27" spans="1:16" ht="28.8" customHeight="1" x14ac:dyDescent="0.4">
      <c r="A27" s="92"/>
      <c r="B27" s="92"/>
      <c r="C27" s="92"/>
      <c r="D27" s="92"/>
      <c r="E27" s="92"/>
      <c r="F27" s="92"/>
      <c r="G27" s="50"/>
      <c r="H27" s="52">
        <f>G27*2</f>
        <v>0</v>
      </c>
      <c r="I27" s="50"/>
      <c r="J27" s="52">
        <f>I27*2</f>
        <v>0</v>
      </c>
      <c r="K27" s="50"/>
      <c r="L27" s="52">
        <f>K27*2</f>
        <v>0</v>
      </c>
      <c r="M27" s="50"/>
      <c r="N27" s="52">
        <f>M27*2</f>
        <v>0</v>
      </c>
      <c r="O27" s="50"/>
      <c r="P27" s="52">
        <f>O27*2</f>
        <v>0</v>
      </c>
    </row>
    <row r="28" spans="1:16" ht="33" customHeight="1" x14ac:dyDescent="0.4">
      <c r="A28" s="89" t="s">
        <v>153</v>
      </c>
      <c r="B28" s="64"/>
      <c r="C28" s="64"/>
      <c r="D28" s="64"/>
      <c r="E28" s="64"/>
      <c r="F28" s="65"/>
      <c r="G28" s="90">
        <f>SUM(H19,H21,H23,H25,H27)</f>
        <v>0</v>
      </c>
      <c r="H28" s="65"/>
      <c r="I28" s="90">
        <f>SUM(J19,J21,J23,J25,J27)</f>
        <v>0</v>
      </c>
      <c r="J28" s="65"/>
      <c r="K28" s="90">
        <f>SUM(L19,L21,L23,L25,L27)</f>
        <v>0</v>
      </c>
      <c r="L28" s="65"/>
      <c r="M28" s="90">
        <f>SUM(N19,N21,N23,N25,N27)</f>
        <v>0</v>
      </c>
      <c r="N28" s="65"/>
      <c r="O28" s="90">
        <f>SUM(P19,P21,P23,P25,P27)</f>
        <v>0</v>
      </c>
      <c r="P28" s="65"/>
    </row>
    <row r="29" spans="1:16" ht="15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ht="15.75" customHeight="1" x14ac:dyDescent="0.3">
      <c r="A30" s="2"/>
      <c r="B30" s="2"/>
      <c r="C30" s="2"/>
      <c r="D30" s="2"/>
      <c r="E30" s="2"/>
      <c r="F30" s="87" t="s">
        <v>117</v>
      </c>
      <c r="G30" s="54"/>
      <c r="H30" s="54"/>
      <c r="I30" s="54"/>
      <c r="J30" s="2"/>
      <c r="K30" s="2"/>
      <c r="L30" s="2"/>
      <c r="M30" s="2"/>
      <c r="N30" s="2"/>
      <c r="O30" s="2"/>
      <c r="P30" s="2"/>
    </row>
    <row r="31" spans="1:16" ht="15.75" customHeight="1" x14ac:dyDescent="0.3">
      <c r="A31" s="2"/>
      <c r="B31" s="2"/>
      <c r="C31" s="2"/>
      <c r="D31" s="2"/>
      <c r="E31" s="2"/>
      <c r="F31" s="88" t="s">
        <v>154</v>
      </c>
      <c r="G31" s="57"/>
      <c r="H31" s="57"/>
      <c r="I31" s="57"/>
      <c r="J31" s="2"/>
      <c r="K31" s="2"/>
      <c r="L31" s="2"/>
      <c r="M31" s="2"/>
      <c r="N31" s="2"/>
      <c r="O31" s="2"/>
      <c r="P31" s="2"/>
    </row>
    <row r="32" spans="1:16" ht="15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ht="15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1:1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1:1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1:1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1:1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1:1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 spans="1:1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 spans="1:1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 spans="1:1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 spans="1:1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 spans="1:1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spans="1:1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 spans="1:1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 spans="1:1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 spans="1:1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 spans="1:1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 spans="1:1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 spans="1:1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 spans="1:1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 spans="1:1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 spans="1:1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 spans="1:1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 spans="1:1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 spans="1:1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 spans="1:1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 spans="1:1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 spans="1:1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 spans="1:1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 spans="1:1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 spans="1:1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 spans="1:1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 spans="1:1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 spans="1:1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 spans="1:1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 spans="1:1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 spans="1:1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 spans="1:1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 spans="1:1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 spans="1:1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 spans="1:1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</row>
    <row r="185" spans="1:1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 spans="1:1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 spans="1:1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 spans="1:1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 spans="1:1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 spans="1:1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</row>
    <row r="191" spans="1:1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</row>
    <row r="192" spans="1:1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</row>
    <row r="193" spans="1:1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 spans="1:1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 spans="1:1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 spans="1:1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</row>
    <row r="197" spans="1:1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 spans="1:1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 spans="1:1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 spans="1:1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  <row r="201" spans="1:1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</row>
    <row r="202" spans="1:1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</row>
    <row r="203" spans="1:1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</row>
    <row r="204" spans="1:1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</row>
    <row r="205" spans="1:1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</row>
    <row r="206" spans="1:1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</row>
    <row r="207" spans="1:1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</row>
    <row r="208" spans="1:1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</row>
    <row r="209" spans="1:1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</row>
    <row r="210" spans="1:1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</row>
    <row r="211" spans="1:1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</row>
    <row r="212" spans="1:1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</row>
    <row r="213" spans="1:1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</row>
    <row r="214" spans="1:1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</row>
    <row r="215" spans="1:1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</row>
    <row r="216" spans="1:1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</row>
    <row r="217" spans="1:1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</row>
    <row r="218" spans="1:1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</row>
    <row r="219" spans="1:1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</row>
    <row r="220" spans="1:1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</row>
    <row r="221" spans="1:1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</row>
    <row r="222" spans="1:1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</row>
    <row r="223" spans="1:1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</row>
    <row r="224" spans="1:1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</row>
    <row r="225" spans="1:1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</row>
    <row r="226" spans="1:1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</row>
    <row r="227" spans="1:1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</row>
    <row r="228" spans="1:1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</row>
    <row r="229" spans="1:1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</row>
    <row r="230" spans="1:1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</row>
    <row r="231" spans="1:1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</row>
    <row r="232" spans="1:16" ht="15.75" customHeight="1" x14ac:dyDescent="0.3"/>
    <row r="233" spans="1:16" ht="15.75" customHeight="1" x14ac:dyDescent="0.3"/>
    <row r="234" spans="1:16" ht="15.75" customHeight="1" x14ac:dyDescent="0.3"/>
    <row r="235" spans="1:16" ht="15.75" customHeight="1" x14ac:dyDescent="0.3"/>
    <row r="236" spans="1:16" ht="15.75" customHeight="1" x14ac:dyDescent="0.3"/>
    <row r="237" spans="1:16" ht="15.75" customHeight="1" x14ac:dyDescent="0.3"/>
    <row r="238" spans="1:16" ht="15.75" customHeight="1" x14ac:dyDescent="0.3"/>
    <row r="239" spans="1:16" ht="15.75" customHeight="1" x14ac:dyDescent="0.3"/>
    <row r="240" spans="1:16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</sheetData>
  <mergeCells count="78">
    <mergeCell ref="A7:P7"/>
    <mergeCell ref="A1:P1"/>
    <mergeCell ref="A2:P2"/>
    <mergeCell ref="A4:P4"/>
    <mergeCell ref="A5:P5"/>
    <mergeCell ref="A6:P6"/>
    <mergeCell ref="A8:P8"/>
    <mergeCell ref="A9:P9"/>
    <mergeCell ref="A10:P10"/>
    <mergeCell ref="A12:P12"/>
    <mergeCell ref="A13:G13"/>
    <mergeCell ref="H13:P13"/>
    <mergeCell ref="A14:G14"/>
    <mergeCell ref="H14:P14"/>
    <mergeCell ref="G17:P17"/>
    <mergeCell ref="A18:A19"/>
    <mergeCell ref="B18:B19"/>
    <mergeCell ref="C18:C19"/>
    <mergeCell ref="D18:D19"/>
    <mergeCell ref="E18:E19"/>
    <mergeCell ref="F18:F19"/>
    <mergeCell ref="G18:H18"/>
    <mergeCell ref="I18:J18"/>
    <mergeCell ref="K18:L18"/>
    <mergeCell ref="M18:N18"/>
    <mergeCell ref="O18:P18"/>
    <mergeCell ref="F20:F21"/>
    <mergeCell ref="A22:A23"/>
    <mergeCell ref="B22:B23"/>
    <mergeCell ref="C22:C23"/>
    <mergeCell ref="D22:D23"/>
    <mergeCell ref="E22:E23"/>
    <mergeCell ref="A20:A21"/>
    <mergeCell ref="B20:B21"/>
    <mergeCell ref="C20:C21"/>
    <mergeCell ref="D20:D21"/>
    <mergeCell ref="E20:E21"/>
    <mergeCell ref="M22:N22"/>
    <mergeCell ref="O22:P22"/>
    <mergeCell ref="G20:H20"/>
    <mergeCell ref="I20:J20"/>
    <mergeCell ref="K20:L20"/>
    <mergeCell ref="M20:N20"/>
    <mergeCell ref="O20:P20"/>
    <mergeCell ref="F24:F25"/>
    <mergeCell ref="F22:F23"/>
    <mergeCell ref="G22:H22"/>
    <mergeCell ref="I22:J22"/>
    <mergeCell ref="K22:L22"/>
    <mergeCell ref="G24:H24"/>
    <mergeCell ref="I24:J24"/>
    <mergeCell ref="K24:L24"/>
    <mergeCell ref="A24:A25"/>
    <mergeCell ref="B24:B25"/>
    <mergeCell ref="C24:C25"/>
    <mergeCell ref="D24:D25"/>
    <mergeCell ref="E24:E25"/>
    <mergeCell ref="A26:A27"/>
    <mergeCell ref="B26:B27"/>
    <mergeCell ref="C26:C27"/>
    <mergeCell ref="D26:D27"/>
    <mergeCell ref="E26:E27"/>
    <mergeCell ref="M24:N24"/>
    <mergeCell ref="O24:P24"/>
    <mergeCell ref="K28:L28"/>
    <mergeCell ref="M28:N28"/>
    <mergeCell ref="O28:P28"/>
    <mergeCell ref="O26:P26"/>
    <mergeCell ref="F26:F27"/>
    <mergeCell ref="G26:H26"/>
    <mergeCell ref="I26:J26"/>
    <mergeCell ref="K26:L26"/>
    <mergeCell ref="M26:N26"/>
    <mergeCell ref="F30:I30"/>
    <mergeCell ref="F31:I31"/>
    <mergeCell ref="A28:F28"/>
    <mergeCell ref="G28:H28"/>
    <mergeCell ref="I28:J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GROUPGRADE</vt:lpstr>
      <vt:lpstr>INDVGRADE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Justine Jude Pura</dc:creator>
  <cp:lastModifiedBy>Justine Jude Pura</cp:lastModifiedBy>
  <cp:lastPrinted>2026-02-28T16:26:31Z</cp:lastPrinted>
  <dcterms:created xsi:type="dcterms:W3CDTF">2026-02-28T16:25:26Z</dcterms:created>
  <dcterms:modified xsi:type="dcterms:W3CDTF">2026-03-15T09:50:06Z</dcterms:modified>
</cp:coreProperties>
</file>